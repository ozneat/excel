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ooo\Documents\GitHub\excel\simples\"/>
    </mc:Choice>
  </mc:AlternateContent>
  <xr:revisionPtr revIDLastSave="0" documentId="13_ncr:1_{7F0A2C7F-B8AB-4392-B314-9FF22E480D08}" xr6:coauthVersionLast="47" xr6:coauthVersionMax="47" xr10:uidLastSave="{00000000-0000-0000-0000-000000000000}"/>
  <bookViews>
    <workbookView xWindow="-110" yWindow="-110" windowWidth="19420" windowHeight="10300" firstSheet="2" activeTab="5" xr2:uid="{06E2FBEE-D8D8-47C0-8849-A6FB9C5F4F1B}"/>
  </bookViews>
  <sheets>
    <sheet name="SOMA COMUM" sheetId="1" r:id="rId1"/>
    <sheet name="SOMA DOS QUADRADOS" sheetId="3" r:id="rId2"/>
    <sheet name="SOMAR PRODUTO" sheetId="4" r:id="rId3"/>
    <sheet name="SOMASE&amp;SOMASES" sheetId="5" r:id="rId4"/>
    <sheet name="SUBTOTAL" sheetId="6" r:id="rId5"/>
    <sheet name="SOMAXMY2" sheetId="8" r:id="rId6"/>
  </sheets>
  <definedNames>
    <definedName name="_xlnm._FilterDatabase" localSheetId="4" hidden="1">SUBTOTAL!$A$1:$C$9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8" l="1"/>
  <c r="D2" i="8"/>
  <c r="C2" i="8"/>
  <c r="B16" i="6"/>
  <c r="B15" i="5"/>
  <c r="B10" i="5"/>
  <c r="B11" i="4"/>
  <c r="B10" i="4"/>
  <c r="B9" i="4"/>
  <c r="E3" i="4"/>
  <c r="E4" i="4"/>
  <c r="E5" i="4"/>
  <c r="E6" i="4"/>
  <c r="E2" i="4"/>
  <c r="D3" i="3"/>
  <c r="D2" i="3"/>
  <c r="G17" i="1"/>
  <c r="B11" i="1"/>
</calcChain>
</file>

<file path=xl/sharedStrings.xml><?xml version="1.0" encoding="utf-8"?>
<sst xmlns="http://schemas.openxmlformats.org/spreadsheetml/2006/main" count="93" uniqueCount="62">
  <si>
    <t>Aluno</t>
  </si>
  <si>
    <t>Januário</t>
  </si>
  <si>
    <t>Vladimir</t>
  </si>
  <si>
    <t>Laryssa</t>
  </si>
  <si>
    <t>Lian</t>
  </si>
  <si>
    <t>Lídia</t>
  </si>
  <si>
    <t>Isabela</t>
  </si>
  <si>
    <t xml:space="preserve">Paulo </t>
  </si>
  <si>
    <t>José</t>
  </si>
  <si>
    <t>Quantidade de canetas</t>
  </si>
  <si>
    <t>Total de canetas:</t>
  </si>
  <si>
    <t>VALOR1</t>
  </si>
  <si>
    <t>VALOR2</t>
  </si>
  <si>
    <t>VALOR3</t>
  </si>
  <si>
    <t>VALORES</t>
  </si>
  <si>
    <t>SOMA DO INTERVALO</t>
  </si>
  <si>
    <t>SOMA DOS VALORES DE CÉLUAS DESAGRUPADAS:</t>
  </si>
  <si>
    <t>SOMA DE CÉLULAS DESAGRUPADAS</t>
  </si>
  <si>
    <t>ITEM</t>
  </si>
  <si>
    <t>RUA</t>
  </si>
  <si>
    <t>PRECO</t>
  </si>
  <si>
    <t>QTD</t>
  </si>
  <si>
    <t>VTOTAL</t>
  </si>
  <si>
    <t>cpu</t>
  </si>
  <si>
    <t>resistor</t>
  </si>
  <si>
    <t>teclado</t>
  </si>
  <si>
    <t>fonte</t>
  </si>
  <si>
    <t>webcam</t>
  </si>
  <si>
    <t>A</t>
  </si>
  <si>
    <t>B</t>
  </si>
  <si>
    <t>C</t>
  </si>
  <si>
    <t>SOMA PRODUTO DE TODOS OS ITENS:</t>
  </si>
  <si>
    <t>SOMA PRODUTO APENAS DOS ITENS C:</t>
  </si>
  <si>
    <t>SOMA PRODUTO APENAS DOS ITENS C E A:</t>
  </si>
  <si>
    <t>Produto</t>
  </si>
  <si>
    <t>Preço</t>
  </si>
  <si>
    <t>k2</t>
  </si>
  <si>
    <t>k3</t>
  </si>
  <si>
    <t>Qtd total</t>
  </si>
  <si>
    <t>Soma de um item sem levar em conta a posição</t>
  </si>
  <si>
    <t>Qtd</t>
  </si>
  <si>
    <t>Soma dos itens levando em conta a posição</t>
  </si>
  <si>
    <t>Posição</t>
  </si>
  <si>
    <t>USO DA SOMA SES</t>
  </si>
  <si>
    <t>USO DA SOMA SE</t>
  </si>
  <si>
    <t>FUNCIONÁRIO</t>
  </si>
  <si>
    <t>DESEMPENHO</t>
  </si>
  <si>
    <t>joão</t>
  </si>
  <si>
    <t xml:space="preserve">lucas </t>
  </si>
  <si>
    <t>josé</t>
  </si>
  <si>
    <t>maria</t>
  </si>
  <si>
    <t>juca</t>
  </si>
  <si>
    <t>mario</t>
  </si>
  <si>
    <t>joana</t>
  </si>
  <si>
    <t>michel</t>
  </si>
  <si>
    <t>EQUIPE</t>
  </si>
  <si>
    <t>DESEMPENHO TOTAL</t>
  </si>
  <si>
    <t>x</t>
  </si>
  <si>
    <t>y</t>
  </si>
  <si>
    <t>z = x - y</t>
  </si>
  <si>
    <t xml:space="preserve"> z^2</t>
  </si>
  <si>
    <t xml:space="preserve"> &lt;---- Usando a função SOMA XMY2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</si>
</sst>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scadia Mono SemiBold"/>
      <family val="3"/>
    </font>
    <font>
      <sz val="14"/>
      <color theme="1"/>
      <name val="Cascadia Mono SemiBold"/>
      <family val="3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5" borderId="0" xfId="0" applyFont="1" applyFill="1" applyAlignment="1"/>
    <xf numFmtId="0" fontId="3" fillId="6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0" fillId="8" borderId="0" xfId="0" applyFill="1"/>
    <xf numFmtId="2" fontId="0" fillId="0" borderId="0" xfId="0" applyNumberFormat="1" applyAlignment="1">
      <alignment horizontal="center"/>
    </xf>
    <xf numFmtId="0" fontId="0" fillId="8" borderId="2" xfId="0" applyFill="1" applyBorder="1"/>
    <xf numFmtId="0" fontId="0" fillId="0" borderId="2" xfId="0" applyBorder="1"/>
    <xf numFmtId="0" fontId="0" fillId="9" borderId="0" xfId="0" applyFill="1" applyAlignment="1">
      <alignment horizontal="left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8FCC-54EE-4E7B-BF0C-7781CCC0BB93}">
  <dimension ref="A1:L20"/>
  <sheetViews>
    <sheetView workbookViewId="0">
      <selection activeCell="H8" sqref="H8"/>
    </sheetView>
  </sheetViews>
  <sheetFormatPr defaultRowHeight="16" x14ac:dyDescent="0.4"/>
  <cols>
    <col min="1" max="1" width="25.36328125" style="4" customWidth="1"/>
    <col min="2" max="2" width="32" style="9" bestFit="1" customWidth="1"/>
    <col min="3" max="3" width="9.81640625" style="5" customWidth="1"/>
    <col min="4" max="4" width="12" style="5" customWidth="1"/>
    <col min="5" max="5" width="8.7265625" style="5"/>
    <col min="6" max="6" width="49.08984375" style="5" bestFit="1" customWidth="1"/>
    <col min="7" max="7" width="3.36328125" style="5" bestFit="1" customWidth="1"/>
    <col min="8" max="8" width="49.08984375" style="5" bestFit="1" customWidth="1"/>
    <col min="9" max="10" width="42.6328125" style="5" bestFit="1" customWidth="1"/>
    <col min="11" max="16384" width="8.7265625" style="5"/>
  </cols>
  <sheetData>
    <row r="1" spans="1:12" ht="20" x14ac:dyDescent="0.5">
      <c r="A1" s="7" t="s">
        <v>0</v>
      </c>
      <c r="B1" s="8" t="s">
        <v>9</v>
      </c>
    </row>
    <row r="2" spans="1:12" x14ac:dyDescent="0.4">
      <c r="A2" s="4" t="s">
        <v>1</v>
      </c>
      <c r="B2" s="9">
        <v>1</v>
      </c>
    </row>
    <row r="3" spans="1:12" x14ac:dyDescent="0.4">
      <c r="A3" s="4" t="s">
        <v>2</v>
      </c>
      <c r="B3" s="9">
        <v>7</v>
      </c>
      <c r="C3" s="4"/>
      <c r="D3" s="4"/>
      <c r="E3" s="4"/>
      <c r="F3" s="4"/>
      <c r="G3" s="4"/>
    </row>
    <row r="4" spans="1:12" x14ac:dyDescent="0.4">
      <c r="A4" s="4" t="s">
        <v>3</v>
      </c>
      <c r="B4" s="9">
        <v>8</v>
      </c>
      <c r="C4" s="6" t="s">
        <v>11</v>
      </c>
      <c r="D4" s="4"/>
      <c r="E4" s="4"/>
      <c r="F4" s="4"/>
      <c r="G4" s="4"/>
      <c r="J4" s="1"/>
      <c r="K4" s="1"/>
      <c r="L4"/>
    </row>
    <row r="5" spans="1:12" x14ac:dyDescent="0.4">
      <c r="A5" s="4" t="s">
        <v>4</v>
      </c>
      <c r="B5" s="9">
        <v>4</v>
      </c>
      <c r="C5" s="6">
        <v>10</v>
      </c>
      <c r="D5" s="4"/>
      <c r="E5" s="4"/>
      <c r="F5" s="4"/>
      <c r="G5" s="4"/>
      <c r="J5" s="1"/>
      <c r="K5" s="1"/>
      <c r="L5"/>
    </row>
    <row r="6" spans="1:12" x14ac:dyDescent="0.4">
      <c r="A6" s="4" t="s">
        <v>5</v>
      </c>
      <c r="B6" s="9">
        <v>5</v>
      </c>
      <c r="C6" s="4"/>
      <c r="D6" s="4"/>
      <c r="E6" s="4"/>
      <c r="F6" s="4"/>
      <c r="G6" s="4"/>
      <c r="J6" s="1"/>
      <c r="K6" s="1"/>
      <c r="L6"/>
    </row>
    <row r="7" spans="1:12" x14ac:dyDescent="0.4">
      <c r="A7" s="4" t="s">
        <v>7</v>
      </c>
      <c r="B7" s="9">
        <v>3</v>
      </c>
      <c r="C7" s="4"/>
      <c r="D7" s="6" t="s">
        <v>12</v>
      </c>
      <c r="E7" s="4"/>
      <c r="F7" s="4"/>
      <c r="G7" s="4"/>
      <c r="J7" s="1"/>
      <c r="K7" s="1"/>
      <c r="L7"/>
    </row>
    <row r="8" spans="1:12" x14ac:dyDescent="0.4">
      <c r="A8" s="4" t="s">
        <v>6</v>
      </c>
      <c r="B8" s="9">
        <v>9</v>
      </c>
      <c r="C8" s="4"/>
      <c r="D8" s="6">
        <v>20</v>
      </c>
      <c r="E8" s="4"/>
      <c r="F8" s="6" t="s">
        <v>13</v>
      </c>
      <c r="G8" s="4"/>
      <c r="J8" s="1"/>
      <c r="K8" s="1"/>
      <c r="L8"/>
    </row>
    <row r="9" spans="1:12" x14ac:dyDescent="0.4">
      <c r="A9" s="4" t="s">
        <v>8</v>
      </c>
      <c r="B9" s="9">
        <v>2</v>
      </c>
      <c r="C9" s="4"/>
      <c r="D9" s="4"/>
      <c r="E9" s="4"/>
      <c r="F9" s="6">
        <v>30</v>
      </c>
      <c r="G9" s="4"/>
      <c r="J9" s="1"/>
      <c r="K9" s="1"/>
      <c r="L9"/>
    </row>
    <row r="10" spans="1:12" x14ac:dyDescent="0.4">
      <c r="C10" s="4"/>
      <c r="D10" s="4"/>
      <c r="E10" s="4"/>
      <c r="F10" s="4"/>
      <c r="G10" s="4"/>
      <c r="J10" s="1"/>
      <c r="K10" s="1"/>
      <c r="L10"/>
    </row>
    <row r="11" spans="1:12" x14ac:dyDescent="0.4">
      <c r="A11" s="6" t="s">
        <v>10</v>
      </c>
      <c r="B11" s="9">
        <f>SUM(B2:B9)</f>
        <v>39</v>
      </c>
      <c r="C11" s="4"/>
      <c r="D11" s="4"/>
      <c r="E11" s="4"/>
      <c r="F11" s="4"/>
      <c r="G11" s="4"/>
      <c r="J11" s="1"/>
      <c r="K11" s="1"/>
      <c r="L11"/>
    </row>
    <row r="12" spans="1:12" x14ac:dyDescent="0.4">
      <c r="C12" s="4"/>
      <c r="D12" s="4"/>
      <c r="E12" s="4"/>
      <c r="F12" s="4"/>
      <c r="G12" s="4"/>
      <c r="J12" s="1"/>
      <c r="K12" s="1"/>
      <c r="L12"/>
    </row>
    <row r="13" spans="1:12" x14ac:dyDescent="0.4">
      <c r="C13" s="4"/>
      <c r="D13" s="4"/>
      <c r="E13" s="4"/>
      <c r="F13" s="4"/>
      <c r="G13" s="4"/>
      <c r="J13" s="1"/>
      <c r="K13" s="1"/>
      <c r="L13"/>
    </row>
    <row r="14" spans="1:12" x14ac:dyDescent="0.4">
      <c r="C14" s="4"/>
      <c r="D14" s="4"/>
      <c r="E14" s="4"/>
      <c r="F14" s="4"/>
      <c r="G14" s="4"/>
      <c r="J14" s="1"/>
      <c r="K14" s="1"/>
      <c r="L14"/>
    </row>
    <row r="15" spans="1:12" x14ac:dyDescent="0.4">
      <c r="C15" s="4"/>
      <c r="D15" s="4"/>
      <c r="E15" s="4"/>
      <c r="F15" s="4"/>
      <c r="G15" s="4"/>
      <c r="J15" s="1"/>
      <c r="K15" s="1"/>
      <c r="L15"/>
    </row>
    <row r="16" spans="1:12" x14ac:dyDescent="0.4">
      <c r="C16" s="4"/>
      <c r="D16" s="4"/>
      <c r="E16" s="4"/>
      <c r="F16" s="4"/>
      <c r="G16" s="4"/>
      <c r="J16" s="3"/>
      <c r="K16" s="1"/>
      <c r="L16"/>
    </row>
    <row r="17" spans="3:12" x14ac:dyDescent="0.4">
      <c r="C17" s="4"/>
      <c r="D17" s="4"/>
      <c r="E17" s="4"/>
      <c r="F17" s="4" t="s">
        <v>16</v>
      </c>
      <c r="G17" s="4">
        <f>SUM(C5,D8,F9)</f>
        <v>60</v>
      </c>
      <c r="J17" s="2"/>
      <c r="K17" s="1"/>
      <c r="L17"/>
    </row>
    <row r="18" spans="3:12" x14ac:dyDescent="0.4">
      <c r="C18" s="4"/>
      <c r="D18" s="4"/>
      <c r="E18" s="4"/>
      <c r="F18" s="4"/>
      <c r="G18" s="4"/>
      <c r="J18" s="1"/>
      <c r="K18" s="1"/>
      <c r="L18"/>
    </row>
    <row r="19" spans="3:12" x14ac:dyDescent="0.4">
      <c r="D19" s="1"/>
      <c r="E19" s="1"/>
      <c r="F19" s="1"/>
      <c r="G19" s="1"/>
      <c r="H19" s="1"/>
      <c r="I19" s="1"/>
      <c r="J19" s="1"/>
      <c r="K19" s="1"/>
      <c r="L19"/>
    </row>
    <row r="20" spans="3:12" x14ac:dyDescent="0.4">
      <c r="D20" s="1"/>
      <c r="E20" s="1"/>
      <c r="F20" s="1"/>
      <c r="G20" s="1"/>
      <c r="H20" s="1"/>
      <c r="I20" s="1"/>
      <c r="J20" s="1"/>
      <c r="K20" s="1"/>
      <c r="L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A8E8-7DA7-4242-9E7C-18A051599173}">
  <dimension ref="A1:I8"/>
  <sheetViews>
    <sheetView workbookViewId="0">
      <selection activeCell="E9" sqref="E9"/>
    </sheetView>
  </sheetViews>
  <sheetFormatPr defaultRowHeight="14.5" x14ac:dyDescent="0.35"/>
  <cols>
    <col min="1" max="1" width="8.7265625" style="1"/>
    <col min="3" max="3" width="30.7265625" bestFit="1" customWidth="1"/>
  </cols>
  <sheetData>
    <row r="1" spans="1:9" x14ac:dyDescent="0.35">
      <c r="A1" s="11" t="s">
        <v>14</v>
      </c>
    </row>
    <row r="2" spans="1:9" x14ac:dyDescent="0.35">
      <c r="A2" s="1">
        <v>1</v>
      </c>
      <c r="C2" t="s">
        <v>15</v>
      </c>
      <c r="D2">
        <f>SUMSQ(A2:A7)</f>
        <v>91</v>
      </c>
      <c r="G2" s="10" t="s">
        <v>11</v>
      </c>
    </row>
    <row r="3" spans="1:9" x14ac:dyDescent="0.35">
      <c r="A3" s="1">
        <v>2</v>
      </c>
      <c r="C3" t="s">
        <v>17</v>
      </c>
      <c r="D3">
        <f>SUMSQ(G3,I6)</f>
        <v>41</v>
      </c>
      <c r="G3" s="10">
        <v>4</v>
      </c>
    </row>
    <row r="4" spans="1:9" x14ac:dyDescent="0.35">
      <c r="A4" s="1">
        <v>3</v>
      </c>
    </row>
    <row r="5" spans="1:9" x14ac:dyDescent="0.35">
      <c r="A5" s="1">
        <v>4</v>
      </c>
      <c r="I5" s="10" t="s">
        <v>12</v>
      </c>
    </row>
    <row r="6" spans="1:9" x14ac:dyDescent="0.35">
      <c r="A6" s="1">
        <v>5</v>
      </c>
      <c r="I6" s="10">
        <v>5</v>
      </c>
    </row>
    <row r="7" spans="1:9" x14ac:dyDescent="0.35">
      <c r="A7" s="1">
        <v>6</v>
      </c>
    </row>
    <row r="8" spans="1:9" x14ac:dyDescent="0.35">
      <c r="A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B968-5B66-40B3-B34F-4C05CEF86123}">
  <dimension ref="A1:E11"/>
  <sheetViews>
    <sheetView workbookViewId="0">
      <selection activeCell="E21" sqref="E21"/>
    </sheetView>
  </sheetViews>
  <sheetFormatPr defaultRowHeight="14.5" x14ac:dyDescent="0.35"/>
  <cols>
    <col min="1" max="1" width="36.7265625" style="1" bestFit="1" customWidth="1"/>
    <col min="2" max="2" width="11.1796875" style="1" customWidth="1"/>
    <col min="3" max="3" width="8.7265625" style="1"/>
    <col min="4" max="4" width="12.81640625" style="12" customWidth="1"/>
    <col min="5" max="5" width="20.6328125" style="1" customWidth="1"/>
  </cols>
  <sheetData>
    <row r="1" spans="1:5" x14ac:dyDescent="0.35">
      <c r="A1" s="14" t="s">
        <v>18</v>
      </c>
      <c r="B1" s="14" t="s">
        <v>19</v>
      </c>
      <c r="C1" s="14" t="s">
        <v>21</v>
      </c>
      <c r="D1" s="15" t="s">
        <v>20</v>
      </c>
      <c r="E1" s="14" t="s">
        <v>22</v>
      </c>
    </row>
    <row r="2" spans="1:5" x14ac:dyDescent="0.35">
      <c r="A2" s="1" t="s">
        <v>23</v>
      </c>
      <c r="B2" s="1" t="s">
        <v>28</v>
      </c>
      <c r="C2" s="1">
        <v>20</v>
      </c>
      <c r="D2" s="12">
        <v>1</v>
      </c>
      <c r="E2" s="12">
        <f>C2*D2</f>
        <v>20</v>
      </c>
    </row>
    <row r="3" spans="1:5" x14ac:dyDescent="0.35">
      <c r="A3" s="11" t="s">
        <v>24</v>
      </c>
      <c r="B3" s="11" t="s">
        <v>29</v>
      </c>
      <c r="C3" s="11">
        <v>50</v>
      </c>
      <c r="D3" s="13">
        <v>5</v>
      </c>
      <c r="E3" s="11">
        <f t="shared" ref="E3:E6" si="0">C3*D3</f>
        <v>250</v>
      </c>
    </row>
    <row r="4" spans="1:5" x14ac:dyDescent="0.35">
      <c r="A4" s="1" t="s">
        <v>25</v>
      </c>
      <c r="B4" s="1" t="s">
        <v>30</v>
      </c>
      <c r="C4" s="1">
        <v>40</v>
      </c>
      <c r="D4" s="12">
        <v>80</v>
      </c>
      <c r="E4" s="12">
        <f t="shared" si="0"/>
        <v>3200</v>
      </c>
    </row>
    <row r="5" spans="1:5" x14ac:dyDescent="0.35">
      <c r="A5" s="11" t="s">
        <v>27</v>
      </c>
      <c r="B5" s="11" t="s">
        <v>30</v>
      </c>
      <c r="C5" s="11">
        <v>60</v>
      </c>
      <c r="D5" s="13">
        <v>4</v>
      </c>
      <c r="E5" s="13">
        <f t="shared" si="0"/>
        <v>240</v>
      </c>
    </row>
    <row r="6" spans="1:5" x14ac:dyDescent="0.35">
      <c r="A6" s="1" t="s">
        <v>26</v>
      </c>
      <c r="B6" s="1" t="s">
        <v>29</v>
      </c>
      <c r="C6" s="1">
        <v>80</v>
      </c>
      <c r="D6" s="12">
        <v>32</v>
      </c>
      <c r="E6" s="12">
        <f t="shared" si="0"/>
        <v>2560</v>
      </c>
    </row>
    <row r="7" spans="1:5" x14ac:dyDescent="0.35">
      <c r="E7" s="12"/>
    </row>
    <row r="9" spans="1:5" x14ac:dyDescent="0.35">
      <c r="A9" s="1" t="s">
        <v>31</v>
      </c>
      <c r="B9" s="16">
        <f>SUMPRODUCT(D2:D6*C2:C6)</f>
        <v>6270</v>
      </c>
    </row>
    <row r="10" spans="1:5" x14ac:dyDescent="0.35">
      <c r="A10" s="1" t="s">
        <v>32</v>
      </c>
      <c r="B10" s="1">
        <f>SUMPRODUCT(D2:D6*C2:C6*(B2:B6=C10))</f>
        <v>3440</v>
      </c>
      <c r="C10" s="1" t="s">
        <v>30</v>
      </c>
    </row>
    <row r="11" spans="1:5" x14ac:dyDescent="0.35">
      <c r="A11" s="1" t="s">
        <v>33</v>
      </c>
      <c r="B11" s="1">
        <f>SUMPRODUCT(D2:D6*C2:C6*((B2:B6=C11)+(B2:B6=D11)))</f>
        <v>3460</v>
      </c>
      <c r="C11" s="1" t="s">
        <v>30</v>
      </c>
      <c r="D11" s="1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5FF2-4DEB-4189-B008-E40C1669B6D1}">
  <dimension ref="A1:E18"/>
  <sheetViews>
    <sheetView workbookViewId="0">
      <selection activeCell="H13" sqref="H13"/>
    </sheetView>
  </sheetViews>
  <sheetFormatPr defaultRowHeight="14.5" x14ac:dyDescent="0.35"/>
  <cols>
    <col min="1" max="1" width="21.26953125" style="1" bestFit="1" customWidth="1"/>
    <col min="2" max="3" width="18.90625" style="1" customWidth="1"/>
  </cols>
  <sheetData>
    <row r="1" spans="1:5" ht="15" thickBot="1" x14ac:dyDescent="0.4">
      <c r="A1" s="17" t="s">
        <v>18</v>
      </c>
      <c r="B1" s="17" t="s">
        <v>35</v>
      </c>
      <c r="C1" s="17" t="s">
        <v>42</v>
      </c>
    </row>
    <row r="2" spans="1:5" ht="15" thickTop="1" x14ac:dyDescent="0.35">
      <c r="A2" s="19" t="s">
        <v>28</v>
      </c>
      <c r="B2" s="20">
        <v>56</v>
      </c>
      <c r="C2" s="21" t="s">
        <v>36</v>
      </c>
    </row>
    <row r="3" spans="1:5" x14ac:dyDescent="0.35">
      <c r="A3" s="18" t="s">
        <v>28</v>
      </c>
      <c r="B3" s="22">
        <v>12</v>
      </c>
      <c r="C3" s="23" t="s">
        <v>36</v>
      </c>
    </row>
    <row r="4" spans="1:5" x14ac:dyDescent="0.35">
      <c r="A4" s="18" t="s">
        <v>28</v>
      </c>
      <c r="B4" s="22">
        <v>5</v>
      </c>
      <c r="C4" s="23" t="s">
        <v>37</v>
      </c>
    </row>
    <row r="5" spans="1:5" x14ac:dyDescent="0.35">
      <c r="A5" s="18" t="s">
        <v>29</v>
      </c>
      <c r="B5" s="22">
        <v>2.5</v>
      </c>
      <c r="C5" s="23" t="s">
        <v>36</v>
      </c>
    </row>
    <row r="6" spans="1:5" x14ac:dyDescent="0.35">
      <c r="A6" s="18" t="s">
        <v>29</v>
      </c>
      <c r="B6" s="22">
        <v>2.5</v>
      </c>
      <c r="C6" s="23" t="s">
        <v>36</v>
      </c>
    </row>
    <row r="7" spans="1:5" ht="15" thickBot="1" x14ac:dyDescent="0.4">
      <c r="A7" s="24" t="s">
        <v>30</v>
      </c>
      <c r="B7" s="25">
        <v>80</v>
      </c>
      <c r="C7" s="26" t="s">
        <v>37</v>
      </c>
    </row>
    <row r="8" spans="1:5" ht="15" thickTop="1" x14ac:dyDescent="0.35"/>
    <row r="9" spans="1:5" ht="15" thickBot="1" x14ac:dyDescent="0.4">
      <c r="A9" s="27" t="s">
        <v>39</v>
      </c>
      <c r="B9" s="27"/>
      <c r="C9" s="31" t="s">
        <v>44</v>
      </c>
      <c r="D9" s="31"/>
      <c r="E9" s="31"/>
    </row>
    <row r="10" spans="1:5" ht="15.5" thickTop="1" thickBot="1" x14ac:dyDescent="0.4">
      <c r="A10" s="28" t="s">
        <v>38</v>
      </c>
      <c r="B10" s="29">
        <f>SUMIF(A2:A7,B11,B2:B7)</f>
        <v>73</v>
      </c>
      <c r="C10" s="31"/>
      <c r="D10" s="31"/>
      <c r="E10" s="31"/>
    </row>
    <row r="11" spans="1:5" ht="15.5" thickTop="1" thickBot="1" x14ac:dyDescent="0.4">
      <c r="A11" s="28" t="s">
        <v>34</v>
      </c>
      <c r="B11" s="29" t="s">
        <v>28</v>
      </c>
      <c r="C11" s="31"/>
      <c r="D11" s="31"/>
      <c r="E11" s="31"/>
    </row>
    <row r="12" spans="1:5" ht="15" thickTop="1" x14ac:dyDescent="0.35"/>
    <row r="14" spans="1:5" ht="15" thickBot="1" x14ac:dyDescent="0.4">
      <c r="A14" s="30" t="s">
        <v>41</v>
      </c>
      <c r="B14" s="30"/>
      <c r="C14" s="32" t="s">
        <v>43</v>
      </c>
      <c r="D14" s="32"/>
      <c r="E14" s="32"/>
    </row>
    <row r="15" spans="1:5" ht="15" customHeight="1" thickTop="1" thickBot="1" x14ac:dyDescent="0.4">
      <c r="A15" s="28" t="s">
        <v>40</v>
      </c>
      <c r="B15" s="29">
        <f>SUMIFS(B2:B7,A2:A7,B16,C2:C7,B17)</f>
        <v>68</v>
      </c>
      <c r="C15" s="32"/>
      <c r="D15" s="32"/>
      <c r="E15" s="32"/>
    </row>
    <row r="16" spans="1:5" ht="15" customHeight="1" thickTop="1" thickBot="1" x14ac:dyDescent="0.4">
      <c r="A16" s="28" t="s">
        <v>34</v>
      </c>
      <c r="B16" s="29" t="s">
        <v>28</v>
      </c>
      <c r="C16" s="32"/>
      <c r="D16" s="32"/>
      <c r="E16" s="32"/>
    </row>
    <row r="17" spans="1:5" ht="15" customHeight="1" thickTop="1" thickBot="1" x14ac:dyDescent="0.4">
      <c r="A17" s="28" t="s">
        <v>42</v>
      </c>
      <c r="B17" s="29" t="s">
        <v>36</v>
      </c>
      <c r="C17" s="32"/>
      <c r="D17" s="32"/>
      <c r="E17" s="32"/>
    </row>
    <row r="18" spans="1:5" ht="15" thickTop="1" x14ac:dyDescent="0.35"/>
  </sheetData>
  <mergeCells count="3">
    <mergeCell ref="A14:B14"/>
    <mergeCell ref="C14:E17"/>
    <mergeCell ref="C9:E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C133-4386-4C0B-819D-CFEC865BFF7D}">
  <sheetPr filterMode="1"/>
  <dimension ref="A1:T39"/>
  <sheetViews>
    <sheetView zoomScale="80" zoomScaleNormal="80" workbookViewId="0">
      <selection activeCell="F19" sqref="F19"/>
    </sheetView>
  </sheetViews>
  <sheetFormatPr defaultRowHeight="14.5" x14ac:dyDescent="0.35"/>
  <cols>
    <col min="1" max="1" width="24.453125" style="2" customWidth="1"/>
    <col min="2" max="2" width="20.6328125" style="2" customWidth="1"/>
    <col min="3" max="8" width="20.6328125" style="1" customWidth="1"/>
    <col min="9" max="9" width="35.6328125" style="34" customWidth="1"/>
    <col min="10" max="10" width="26" customWidth="1"/>
  </cols>
  <sheetData>
    <row r="1" spans="1:20" x14ac:dyDescent="0.35">
      <c r="A1" s="33" t="s">
        <v>45</v>
      </c>
      <c r="B1" s="33" t="s">
        <v>46</v>
      </c>
      <c r="C1" s="33" t="s">
        <v>55</v>
      </c>
      <c r="D1"/>
      <c r="E1"/>
      <c r="F1"/>
      <c r="G1"/>
      <c r="H1"/>
      <c r="I1"/>
      <c r="L1" s="33"/>
      <c r="M1" s="33"/>
      <c r="N1" s="33"/>
      <c r="O1" s="33"/>
      <c r="P1" s="33"/>
      <c r="Q1" s="33"/>
      <c r="R1" s="33"/>
      <c r="S1" s="33"/>
      <c r="T1" s="33"/>
    </row>
    <row r="2" spans="1:20" hidden="1" x14ac:dyDescent="0.35">
      <c r="A2" t="s">
        <v>47</v>
      </c>
      <c r="B2">
        <v>10</v>
      </c>
      <c r="C2" t="s">
        <v>30</v>
      </c>
      <c r="D2"/>
      <c r="E2"/>
      <c r="F2"/>
      <c r="G2"/>
      <c r="H2"/>
      <c r="I2"/>
      <c r="L2" s="33"/>
      <c r="M2" s="33"/>
      <c r="N2" s="33"/>
      <c r="O2" s="33"/>
      <c r="P2" s="33"/>
      <c r="Q2" s="33"/>
      <c r="R2" s="33"/>
      <c r="S2" s="33"/>
      <c r="T2" s="33"/>
    </row>
    <row r="3" spans="1:20" hidden="1" x14ac:dyDescent="0.35">
      <c r="A3" t="s">
        <v>50</v>
      </c>
      <c r="B3">
        <v>8</v>
      </c>
      <c r="C3" t="s">
        <v>30</v>
      </c>
      <c r="D3"/>
      <c r="E3"/>
      <c r="F3"/>
      <c r="G3"/>
      <c r="H3"/>
      <c r="I3"/>
      <c r="L3" s="33"/>
      <c r="M3" s="33"/>
      <c r="N3" s="33"/>
      <c r="O3" s="33"/>
      <c r="P3" s="33"/>
      <c r="Q3" s="33"/>
      <c r="R3" s="33"/>
      <c r="S3" s="33"/>
      <c r="T3" s="33"/>
    </row>
    <row r="4" spans="1:20" hidden="1" x14ac:dyDescent="0.35">
      <c r="A4" t="s">
        <v>48</v>
      </c>
      <c r="B4">
        <v>7</v>
      </c>
      <c r="C4" t="s">
        <v>28</v>
      </c>
      <c r="D4"/>
      <c r="E4"/>
      <c r="F4"/>
      <c r="G4"/>
      <c r="H4"/>
      <c r="I4"/>
      <c r="L4" s="33"/>
      <c r="M4" s="33"/>
      <c r="N4" s="33"/>
      <c r="O4" s="33"/>
      <c r="P4" s="33"/>
      <c r="Q4" s="33"/>
      <c r="R4" s="33"/>
      <c r="S4" s="33"/>
      <c r="T4" s="33"/>
    </row>
    <row r="5" spans="1:20" x14ac:dyDescent="0.35">
      <c r="A5" t="s">
        <v>49</v>
      </c>
      <c r="B5">
        <v>8</v>
      </c>
      <c r="C5" t="s">
        <v>29</v>
      </c>
      <c r="D5"/>
      <c r="E5"/>
      <c r="F5"/>
      <c r="G5"/>
      <c r="H5"/>
      <c r="I5"/>
    </row>
    <row r="6" spans="1:20" hidden="1" x14ac:dyDescent="0.35">
      <c r="A6" t="s">
        <v>51</v>
      </c>
      <c r="B6">
        <v>4</v>
      </c>
      <c r="C6" t="s">
        <v>30</v>
      </c>
      <c r="D6"/>
      <c r="E6"/>
      <c r="F6"/>
      <c r="G6"/>
      <c r="H6"/>
      <c r="I6"/>
    </row>
    <row r="7" spans="1:20" hidden="1" x14ac:dyDescent="0.35">
      <c r="A7" t="s">
        <v>52</v>
      </c>
      <c r="B7">
        <v>6</v>
      </c>
      <c r="C7" t="s">
        <v>28</v>
      </c>
      <c r="D7"/>
      <c r="E7"/>
      <c r="F7"/>
      <c r="G7"/>
      <c r="H7"/>
      <c r="I7"/>
    </row>
    <row r="8" spans="1:20" x14ac:dyDescent="0.35">
      <c r="A8" t="s">
        <v>53</v>
      </c>
      <c r="B8">
        <v>8</v>
      </c>
      <c r="C8" t="s">
        <v>29</v>
      </c>
      <c r="D8"/>
      <c r="E8"/>
      <c r="F8"/>
      <c r="G8"/>
      <c r="H8"/>
      <c r="I8"/>
    </row>
    <row r="9" spans="1:20" hidden="1" x14ac:dyDescent="0.35">
      <c r="A9" t="s">
        <v>54</v>
      </c>
      <c r="B9">
        <v>5</v>
      </c>
      <c r="C9" t="s">
        <v>28</v>
      </c>
      <c r="D9"/>
      <c r="E9"/>
      <c r="F9"/>
      <c r="G9"/>
      <c r="H9"/>
      <c r="I9"/>
    </row>
    <row r="10" spans="1:20" x14ac:dyDescent="0.35">
      <c r="A10"/>
      <c r="B10"/>
      <c r="C10"/>
      <c r="D10"/>
      <c r="E10"/>
      <c r="F10"/>
      <c r="G10"/>
      <c r="H10"/>
      <c r="I10"/>
    </row>
    <row r="11" spans="1:20" x14ac:dyDescent="0.35">
      <c r="A11"/>
      <c r="B11"/>
      <c r="C11"/>
      <c r="D11"/>
      <c r="E11"/>
      <c r="F11"/>
      <c r="G11"/>
      <c r="H11"/>
      <c r="I11"/>
    </row>
    <row r="12" spans="1:20" x14ac:dyDescent="0.35">
      <c r="A12"/>
      <c r="B12"/>
      <c r="C12"/>
      <c r="D12"/>
      <c r="E12"/>
      <c r="F12"/>
      <c r="G12"/>
      <c r="H12"/>
      <c r="I12"/>
    </row>
    <row r="13" spans="1:20" x14ac:dyDescent="0.35">
      <c r="A13"/>
      <c r="B13"/>
      <c r="C13"/>
      <c r="D13"/>
      <c r="E13"/>
      <c r="F13"/>
      <c r="G13"/>
      <c r="H13"/>
      <c r="I13"/>
    </row>
    <row r="14" spans="1:20" x14ac:dyDescent="0.35">
      <c r="A14"/>
      <c r="B14"/>
      <c r="C14"/>
      <c r="D14"/>
      <c r="E14"/>
      <c r="F14"/>
      <c r="G14"/>
      <c r="H14"/>
      <c r="I14"/>
    </row>
    <row r="15" spans="1:20" ht="15" thickBot="1" x14ac:dyDescent="0.4">
      <c r="A15"/>
      <c r="B15"/>
      <c r="C15"/>
      <c r="D15"/>
      <c r="E15"/>
      <c r="F15"/>
      <c r="G15"/>
      <c r="H15"/>
      <c r="I15"/>
    </row>
    <row r="16" spans="1:20" ht="15.5" thickTop="1" thickBot="1" x14ac:dyDescent="0.4">
      <c r="A16" s="35" t="s">
        <v>56</v>
      </c>
      <c r="B16" s="36">
        <f>SUBTOTAL(9, B2:B9)</f>
        <v>16</v>
      </c>
      <c r="C16"/>
      <c r="D16"/>
      <c r="E16"/>
      <c r="F16"/>
      <c r="G16"/>
      <c r="H16"/>
      <c r="I16"/>
    </row>
    <row r="17" customFormat="1" ht="15" thickTop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</sheetData>
  <autoFilter ref="A1:C9" xr:uid="{A016C133-4386-4C0B-819D-CFEC865BFF7D}">
    <filterColumn colId="2">
      <filters>
        <filter val="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809F-8577-4863-9336-94524E89A8D1}">
  <dimension ref="A1:D4"/>
  <sheetViews>
    <sheetView tabSelected="1" workbookViewId="0">
      <selection activeCell="C6" sqref="C6"/>
    </sheetView>
  </sheetViews>
  <sheetFormatPr defaultRowHeight="14.5" x14ac:dyDescent="0.35"/>
  <cols>
    <col min="1" max="4" width="10.81640625" customWidth="1"/>
  </cols>
  <sheetData>
    <row r="1" spans="1:4" ht="15.5" thickTop="1" thickBot="1" x14ac:dyDescent="0.4">
      <c r="A1" s="38" t="s">
        <v>57</v>
      </c>
      <c r="B1" s="38" t="s">
        <v>58</v>
      </c>
      <c r="C1" s="38" t="s">
        <v>59</v>
      </c>
      <c r="D1" s="38" t="s">
        <v>60</v>
      </c>
    </row>
    <row r="2" spans="1:4" ht="15" thickTop="1" x14ac:dyDescent="0.35">
      <c r="A2">
        <v>8</v>
      </c>
      <c r="B2">
        <v>2</v>
      </c>
      <c r="C2">
        <f>A2-B2</f>
        <v>6</v>
      </c>
      <c r="D2">
        <f>C2*C2</f>
        <v>36</v>
      </c>
    </row>
    <row r="4" spans="1:4" x14ac:dyDescent="0.35">
      <c r="A4">
        <f>SUMXMY2(A2,B2)</f>
        <v>36</v>
      </c>
      <c r="B4" s="37" t="s">
        <v>61</v>
      </c>
      <c r="C4" s="37"/>
      <c r="D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SOMA COMUM</vt:lpstr>
      <vt:lpstr>SOMA DOS QUADRADOS</vt:lpstr>
      <vt:lpstr>SOMAR PRODUTO</vt:lpstr>
      <vt:lpstr>SOMASE&amp;SOMASES</vt:lpstr>
      <vt:lpstr>SUBTOTAL</vt:lpstr>
      <vt:lpstr>SOMAXMY2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 zo</dc:creator>
  <cp:lastModifiedBy>enzo</cp:lastModifiedBy>
  <dcterms:created xsi:type="dcterms:W3CDTF">2022-06-17T02:39:00Z</dcterms:created>
  <dcterms:modified xsi:type="dcterms:W3CDTF">2022-06-21T21:14:04Z</dcterms:modified>
</cp:coreProperties>
</file>